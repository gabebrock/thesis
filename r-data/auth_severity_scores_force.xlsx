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brock/Projects/thesis/r-data/"/>
    </mc:Choice>
  </mc:AlternateContent>
  <xr:revisionPtr revIDLastSave="0" documentId="13_ncr:1_{C8CD4DA7-435B-CE43-9346-4579DB2653A7}" xr6:coauthVersionLast="47" xr6:coauthVersionMax="47" xr10:uidLastSave="{00000000-0000-0000-0000-000000000000}"/>
  <bookViews>
    <workbookView xWindow="10620" yWindow="740" windowWidth="18360" windowHeight="17240" activeTab="1" xr2:uid="{462DB135-2883-3D4A-BD3D-6F9188C3DB86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H8" i="2" s="1"/>
  <c r="G8" i="2"/>
  <c r="G3" i="2"/>
</calcChain>
</file>

<file path=xl/sharedStrings.xml><?xml version="1.0" encoding="utf-8"?>
<sst xmlns="http://schemas.openxmlformats.org/spreadsheetml/2006/main" count="144" uniqueCount="45">
  <si>
    <t>Type of force</t>
  </si>
  <si>
    <t>Mean</t>
  </si>
  <si>
    <t>Verbal control commands</t>
  </si>
  <si>
    <t>Control holds (e.g. escort, pain-compliance holds)</t>
  </si>
  <si>
    <t>Strikes/punches</t>
  </si>
  <si>
    <t>Chemical incapacitants (e.g., OC, CS)</t>
  </si>
  <si>
    <t>CED (e.g., Taser)</t>
  </si>
  <si>
    <t>Baton/impact weapons</t>
  </si>
  <si>
    <t>Kinetic weapons or munitions (e.g., beanbag projectile)</t>
  </si>
  <si>
    <t>Firearms</t>
  </si>
  <si>
    <t>Scenario</t>
  </si>
  <si>
    <t>Authorized-Yes</t>
  </si>
  <si>
    <t>Authorized-No</t>
  </si>
  <si>
    <t>Soft empty-hand tactics/control</t>
  </si>
  <si>
    <t>Hard empty-hand tactics/strikes/punches</t>
  </si>
  <si>
    <t>OC spray, foam, or other chemical weapons</t>
  </si>
  <si>
    <t>Baton (collapsible, straight, side handle, etc.)</t>
  </si>
  <si>
    <t>CED in probe mode</t>
  </si>
  <si>
    <t>CED in drive stun  mode</t>
  </si>
  <si>
    <t>A</t>
  </si>
  <si>
    <t>Less-lethal force type</t>
  </si>
  <si>
    <t>B</t>
  </si>
  <si>
    <t>C</t>
  </si>
  <si>
    <t>D</t>
  </si>
  <si>
    <t>E</t>
  </si>
  <si>
    <t>Chemical/kinetic hybrids (e.g., pepper filled projectiles)</t>
  </si>
  <si>
    <t>Incapacitation holds (e.g., neck restraints)</t>
  </si>
  <si>
    <t>Avg Auth rate</t>
  </si>
  <si>
    <t>PHYSICAL_FORCE_CEW_FLAG,</t>
  </si>
  <si>
    <t xml:space="preserve">  "PHYSICAL_FORCE_DRAW_POINT_FIREARM_FLAG",</t>
  </si>
  <si>
    <t xml:space="preserve">  "PHYSICAL_FORCE_HANDCUFF_SUSPECT_FLAG",</t>
  </si>
  <si>
    <t xml:space="preserve">  "PHYSICAL_FORCE_OC_SPRAY_USED_FLAG",</t>
  </si>
  <si>
    <t xml:space="preserve">  "PHYSICAL_FORCE_OTHER_FLAG",</t>
  </si>
  <si>
    <t xml:space="preserve">  "PHYSICAL_FORCE_RESTRAINT_USED_FLAG",</t>
  </si>
  <si>
    <t xml:space="preserve">  "PHYSICAL_FORCE_VERBAL_INSTRUCTION_FLAG",</t>
  </si>
  <si>
    <t xml:space="preserve">  "PHYSICAL_FORCE_WEAPON_IMPACT_FLAG"  </t>
  </si>
  <si>
    <t>Sev Rate</t>
  </si>
  <si>
    <t>"PHYSICAL_FORCE_HANDCUFF_SUSPECT_FLAG",</t>
  </si>
  <si>
    <t>"PHYSICAL_FORCE_DRAW_POINT_FIREARM_FLAG",</t>
  </si>
  <si>
    <t>"PHYSICAL_FORCE_OC_SPRAY_USED_FLAG",</t>
  </si>
  <si>
    <t>"PHYSICAL_FORCE_OTHER_FLAG",</t>
  </si>
  <si>
    <t>"PHYSICAL_FORCE_RESTRAINT_USED_FLAG",</t>
  </si>
  <si>
    <t>"PHYSICAL_FORCE_VERBAL_INSTRUCTION_FLAG",</t>
  </si>
  <si>
    <t xml:space="preserve">"PHYSICAL_FORCE_WEAPON_IMPACT_FLAG"  </t>
  </si>
  <si>
    <t>Auth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</si>
</sst>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85C7-EB5E-FC42-B6CD-B8E6EB42B634}">
  <dimension ref="A1:E21"/>
  <sheetViews>
    <sheetView workbookViewId="0">
      <selection activeCell="A2" sqref="A2:C11"/>
    </sheetView>
  </sheetViews>
  <sheetFormatPr baseColWidth="10" defaultRowHeight="16" x14ac:dyDescent="0.2"/>
  <cols>
    <col min="1" max="1" width="47.5" bestFit="1" customWidth="1"/>
  </cols>
  <sheetData>
    <row r="1" spans="1:5" x14ac:dyDescent="0.2">
      <c r="A1" t="s">
        <v>0</v>
      </c>
      <c r="B1" t="s">
        <v>1</v>
      </c>
    </row>
    <row r="2" spans="1:5" x14ac:dyDescent="0.2">
      <c r="A2" t="s">
        <v>2</v>
      </c>
      <c r="B2" s="5">
        <v>1</v>
      </c>
      <c r="C2" t="s">
        <v>13</v>
      </c>
    </row>
    <row r="3" spans="1:5" x14ac:dyDescent="0.2">
      <c r="A3" t="s">
        <v>3</v>
      </c>
      <c r="B3">
        <v>2.11</v>
      </c>
      <c r="C3" t="s">
        <v>13</v>
      </c>
    </row>
    <row r="4" spans="1:5" x14ac:dyDescent="0.2">
      <c r="A4" t="s">
        <v>5</v>
      </c>
      <c r="B4">
        <v>2.64</v>
      </c>
      <c r="C4" t="s">
        <v>15</v>
      </c>
    </row>
    <row r="5" spans="1:5" x14ac:dyDescent="0.2">
      <c r="A5" t="s">
        <v>6</v>
      </c>
      <c r="B5">
        <v>3.06</v>
      </c>
      <c r="C5" t="s">
        <v>17</v>
      </c>
    </row>
    <row r="6" spans="1:5" x14ac:dyDescent="0.2">
      <c r="A6" t="s">
        <v>4</v>
      </c>
      <c r="B6">
        <v>3.31</v>
      </c>
      <c r="C6" t="s">
        <v>14</v>
      </c>
    </row>
    <row r="7" spans="1:5" x14ac:dyDescent="0.2">
      <c r="A7" t="s">
        <v>25</v>
      </c>
      <c r="B7">
        <v>4.03</v>
      </c>
      <c r="C7" t="s">
        <v>15</v>
      </c>
    </row>
    <row r="8" spans="1:5" x14ac:dyDescent="0.2">
      <c r="A8" t="s">
        <v>7</v>
      </c>
      <c r="B8">
        <v>4.05</v>
      </c>
      <c r="C8" t="s">
        <v>16</v>
      </c>
    </row>
    <row r="9" spans="1:5" x14ac:dyDescent="0.2">
      <c r="A9" t="s">
        <v>26</v>
      </c>
      <c r="B9">
        <v>4.3600000000000003</v>
      </c>
      <c r="C9" t="s">
        <v>14</v>
      </c>
    </row>
    <row r="10" spans="1:5" x14ac:dyDescent="0.2">
      <c r="A10" t="s">
        <v>8</v>
      </c>
      <c r="B10" s="5">
        <v>4.4000000000000004</v>
      </c>
    </row>
    <row r="11" spans="1:5" x14ac:dyDescent="0.2">
      <c r="A11" t="s">
        <v>9</v>
      </c>
      <c r="B11">
        <v>5.46</v>
      </c>
    </row>
    <row r="16" spans="1:5" x14ac:dyDescent="0.2">
      <c r="E16" t="s">
        <v>13</v>
      </c>
    </row>
    <row r="17" spans="5:5" x14ac:dyDescent="0.2">
      <c r="E17" t="s">
        <v>14</v>
      </c>
    </row>
    <row r="18" spans="5:5" x14ac:dyDescent="0.2">
      <c r="E18" t="s">
        <v>15</v>
      </c>
    </row>
    <row r="19" spans="5:5" x14ac:dyDescent="0.2">
      <c r="E19" t="s">
        <v>16</v>
      </c>
    </row>
    <row r="20" spans="5:5" x14ac:dyDescent="0.2">
      <c r="E20" t="s">
        <v>17</v>
      </c>
    </row>
    <row r="21" spans="5:5" x14ac:dyDescent="0.2">
      <c r="E2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F1B6-7A80-B741-8DFE-A131A42A654F}">
  <dimension ref="B3:F24"/>
  <sheetViews>
    <sheetView tabSelected="1" workbookViewId="0">
      <selection activeCell="C16" sqref="C16:D23"/>
    </sheetView>
  </sheetViews>
  <sheetFormatPr baseColWidth="10" defaultRowHeight="16" x14ac:dyDescent="0.2"/>
  <cols>
    <col min="2" max="2" width="46" bestFit="1" customWidth="1"/>
    <col min="4" max="4" width="47.5" bestFit="1" customWidth="1"/>
  </cols>
  <sheetData>
    <row r="3" spans="2:6" x14ac:dyDescent="0.2">
      <c r="B3" t="s">
        <v>28</v>
      </c>
      <c r="D3" t="s">
        <v>2</v>
      </c>
      <c r="E3" s="5">
        <v>1</v>
      </c>
      <c r="F3" t="s">
        <v>13</v>
      </c>
    </row>
    <row r="4" spans="2:6" x14ac:dyDescent="0.2">
      <c r="B4" t="s">
        <v>29</v>
      </c>
      <c r="D4" t="s">
        <v>3</v>
      </c>
      <c r="E4">
        <v>2.11</v>
      </c>
      <c r="F4" t="s">
        <v>13</v>
      </c>
    </row>
    <row r="5" spans="2:6" x14ac:dyDescent="0.2">
      <c r="B5" t="s">
        <v>30</v>
      </c>
      <c r="D5" t="s">
        <v>5</v>
      </c>
      <c r="E5">
        <v>2.64</v>
      </c>
      <c r="F5" t="s">
        <v>15</v>
      </c>
    </row>
    <row r="6" spans="2:6" x14ac:dyDescent="0.2">
      <c r="B6" t="s">
        <v>31</v>
      </c>
      <c r="D6" t="s">
        <v>6</v>
      </c>
      <c r="E6">
        <v>3.06</v>
      </c>
      <c r="F6" t="s">
        <v>17</v>
      </c>
    </row>
    <row r="7" spans="2:6" x14ac:dyDescent="0.2">
      <c r="B7" t="s">
        <v>32</v>
      </c>
      <c r="D7" t="s">
        <v>4</v>
      </c>
      <c r="E7">
        <v>3.31</v>
      </c>
      <c r="F7" t="s">
        <v>14</v>
      </c>
    </row>
    <row r="8" spans="2:6" x14ac:dyDescent="0.2">
      <c r="B8" t="s">
        <v>33</v>
      </c>
      <c r="D8" t="s">
        <v>25</v>
      </c>
      <c r="E8">
        <v>4.03</v>
      </c>
      <c r="F8" t="s">
        <v>15</v>
      </c>
    </row>
    <row r="9" spans="2:6" x14ac:dyDescent="0.2">
      <c r="B9" t="s">
        <v>34</v>
      </c>
      <c r="D9" t="s">
        <v>7</v>
      </c>
      <c r="E9">
        <v>4.05</v>
      </c>
      <c r="F9" t="s">
        <v>16</v>
      </c>
    </row>
    <row r="10" spans="2:6" x14ac:dyDescent="0.2">
      <c r="B10" t="s">
        <v>35</v>
      </c>
      <c r="D10" t="s">
        <v>26</v>
      </c>
      <c r="E10">
        <v>4.3600000000000003</v>
      </c>
      <c r="F10" t="s">
        <v>14</v>
      </c>
    </row>
    <row r="11" spans="2:6" x14ac:dyDescent="0.2">
      <c r="D11" t="s">
        <v>8</v>
      </c>
      <c r="E11" s="5">
        <v>4.4000000000000004</v>
      </c>
    </row>
    <row r="12" spans="2:6" x14ac:dyDescent="0.2">
      <c r="D12" t="s">
        <v>9</v>
      </c>
      <c r="E12">
        <v>5.46</v>
      </c>
    </row>
    <row r="15" spans="2:6" x14ac:dyDescent="0.2">
      <c r="C15" s="1" t="s">
        <v>36</v>
      </c>
      <c r="D15" s="1" t="s">
        <v>44</v>
      </c>
    </row>
    <row r="16" spans="2:6" x14ac:dyDescent="0.2">
      <c r="B16" t="s">
        <v>28</v>
      </c>
      <c r="C16">
        <v>3.06</v>
      </c>
      <c r="D16">
        <v>0.69169999999999998</v>
      </c>
    </row>
    <row r="17" spans="2:5" x14ac:dyDescent="0.2">
      <c r="B17" t="s">
        <v>38</v>
      </c>
      <c r="C17">
        <v>5.46</v>
      </c>
      <c r="D17">
        <v>0.53120000000000001</v>
      </c>
    </row>
    <row r="18" spans="2:5" x14ac:dyDescent="0.2">
      <c r="B18" t="s">
        <v>37</v>
      </c>
      <c r="C18">
        <v>2.11</v>
      </c>
      <c r="D18" s="3">
        <v>0.93459999999999999</v>
      </c>
    </row>
    <row r="19" spans="2:5" x14ac:dyDescent="0.2">
      <c r="B19" t="s">
        <v>39</v>
      </c>
      <c r="C19">
        <v>2.64</v>
      </c>
      <c r="D19" s="3">
        <v>0.81979999999999997</v>
      </c>
      <c r="E19" s="3"/>
    </row>
    <row r="20" spans="2:5" x14ac:dyDescent="0.2">
      <c r="B20" t="s">
        <v>40</v>
      </c>
      <c r="C20" s="5">
        <v>4.4000000000000004</v>
      </c>
      <c r="D20">
        <v>0.67479999999999996</v>
      </c>
      <c r="E20" s="3"/>
    </row>
    <row r="21" spans="2:5" x14ac:dyDescent="0.2">
      <c r="B21" t="s">
        <v>41</v>
      </c>
      <c r="C21">
        <v>2.11</v>
      </c>
      <c r="D21">
        <v>0.67479999999999996</v>
      </c>
      <c r="E21" s="3"/>
    </row>
    <row r="22" spans="2:5" x14ac:dyDescent="0.2">
      <c r="B22" t="s">
        <v>42</v>
      </c>
      <c r="C22" s="5">
        <v>1</v>
      </c>
      <c r="D22">
        <v>0.93459999999999999</v>
      </c>
      <c r="E22" s="3"/>
    </row>
    <row r="23" spans="2:5" x14ac:dyDescent="0.2">
      <c r="B23" t="s">
        <v>43</v>
      </c>
      <c r="C23">
        <v>4.05</v>
      </c>
      <c r="D23">
        <v>0.53120000000000001</v>
      </c>
      <c r="E23" s="3"/>
    </row>
    <row r="24" spans="2:5" x14ac:dyDescent="0.2">
      <c r="E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BE8B-5FBA-C448-8E56-889DB667A2FB}">
  <dimension ref="A2:H32"/>
  <sheetViews>
    <sheetView zoomScale="91" workbookViewId="0">
      <selection activeCell="F11" sqref="F11:H19"/>
    </sheetView>
  </sheetViews>
  <sheetFormatPr baseColWidth="10" defaultRowHeight="16" x14ac:dyDescent="0.2"/>
  <cols>
    <col min="1" max="1" width="36" bestFit="1" customWidth="1"/>
    <col min="3" max="3" width="13.5" bestFit="1" customWidth="1"/>
    <col min="4" max="4" width="13" bestFit="1" customWidth="1"/>
    <col min="6" max="6" width="46" bestFit="1" customWidth="1"/>
    <col min="8" max="8" width="9.33203125" bestFit="1" customWidth="1"/>
  </cols>
  <sheetData>
    <row r="2" spans="1:8" x14ac:dyDescent="0.2">
      <c r="A2" s="1" t="s">
        <v>20</v>
      </c>
      <c r="B2" s="1" t="s">
        <v>10</v>
      </c>
      <c r="C2" s="1" t="s">
        <v>11</v>
      </c>
      <c r="D2" s="1" t="s">
        <v>12</v>
      </c>
      <c r="F2" s="1" t="s">
        <v>20</v>
      </c>
      <c r="G2" s="1" t="s">
        <v>27</v>
      </c>
    </row>
    <row r="3" spans="1:8" x14ac:dyDescent="0.2">
      <c r="A3" t="s">
        <v>13</v>
      </c>
      <c r="B3" t="s">
        <v>19</v>
      </c>
      <c r="C3" s="4">
        <v>0.998</v>
      </c>
      <c r="D3" s="4">
        <v>2E-3</v>
      </c>
      <c r="E3" s="4"/>
      <c r="F3" t="s">
        <v>13</v>
      </c>
      <c r="G3" s="3">
        <f>AVERAGEIF(A3:A32, F3, C3:C32)</f>
        <v>0.93459999999999999</v>
      </c>
    </row>
    <row r="4" spans="1:8" x14ac:dyDescent="0.2">
      <c r="A4" t="s">
        <v>14</v>
      </c>
      <c r="B4" t="s">
        <v>19</v>
      </c>
      <c r="C4" s="4">
        <v>9.5000000000000001E-2</v>
      </c>
      <c r="D4" s="4">
        <v>0.90500000000000003</v>
      </c>
      <c r="E4" s="4"/>
      <c r="F4" t="s">
        <v>14</v>
      </c>
      <c r="G4" s="3">
        <f t="shared" ref="G4:G8" si="0">AVERAGEIF(A4:A33, F4, C4:C33)</f>
        <v>0.67479999999999996</v>
      </c>
    </row>
    <row r="5" spans="1:8" x14ac:dyDescent="0.2">
      <c r="A5" t="s">
        <v>15</v>
      </c>
      <c r="B5" t="s">
        <v>19</v>
      </c>
      <c r="C5" s="4">
        <v>0.44900000000000001</v>
      </c>
      <c r="D5" s="4">
        <v>0.55100000000000005</v>
      </c>
      <c r="E5" s="4"/>
      <c r="F5" t="s">
        <v>15</v>
      </c>
      <c r="G5" s="3">
        <f t="shared" si="0"/>
        <v>0.81980000000000008</v>
      </c>
    </row>
    <row r="6" spans="1:8" x14ac:dyDescent="0.2">
      <c r="A6" t="s">
        <v>16</v>
      </c>
      <c r="B6" t="s">
        <v>19</v>
      </c>
      <c r="C6" s="4">
        <v>9.4E-2</v>
      </c>
      <c r="D6" s="4">
        <v>0.90600000000000003</v>
      </c>
      <c r="E6" s="4"/>
      <c r="F6" t="s">
        <v>16</v>
      </c>
      <c r="G6" s="3">
        <f t="shared" si="0"/>
        <v>0.53119999999999989</v>
      </c>
    </row>
    <row r="7" spans="1:8" x14ac:dyDescent="0.2">
      <c r="A7" t="s">
        <v>17</v>
      </c>
      <c r="B7" t="s">
        <v>19</v>
      </c>
      <c r="C7" s="4">
        <v>0.20100000000000001</v>
      </c>
      <c r="D7" s="4">
        <v>0.79900000000000004</v>
      </c>
      <c r="E7" s="4"/>
      <c r="F7" t="s">
        <v>17</v>
      </c>
      <c r="G7" s="3">
        <f t="shared" si="0"/>
        <v>0.68900000000000006</v>
      </c>
    </row>
    <row r="8" spans="1:8" x14ac:dyDescent="0.2">
      <c r="A8" t="s">
        <v>18</v>
      </c>
      <c r="B8" t="s">
        <v>19</v>
      </c>
      <c r="C8" s="4">
        <v>0.29599999999999999</v>
      </c>
      <c r="D8" s="4">
        <v>0.70399999999999996</v>
      </c>
      <c r="E8" s="4"/>
      <c r="F8" t="s">
        <v>18</v>
      </c>
      <c r="G8" s="3">
        <f t="shared" si="0"/>
        <v>0.69439999999999991</v>
      </c>
      <c r="H8" s="3">
        <f>AVERAGE(G7:G8)</f>
        <v>0.69169999999999998</v>
      </c>
    </row>
    <row r="9" spans="1:8" x14ac:dyDescent="0.2">
      <c r="A9" t="s">
        <v>13</v>
      </c>
      <c r="B9" t="s">
        <v>21</v>
      </c>
      <c r="C9" s="4">
        <v>0.98</v>
      </c>
      <c r="D9" s="4">
        <v>0.02</v>
      </c>
      <c r="E9" s="4"/>
    </row>
    <row r="10" spans="1:8" x14ac:dyDescent="0.2">
      <c r="A10" t="s">
        <v>14</v>
      </c>
      <c r="B10" t="s">
        <v>21</v>
      </c>
      <c r="C10" s="4">
        <v>0.68500000000000005</v>
      </c>
      <c r="D10" s="4">
        <v>0.315</v>
      </c>
      <c r="E10" s="4"/>
    </row>
    <row r="11" spans="1:8" x14ac:dyDescent="0.2">
      <c r="A11" t="s">
        <v>15</v>
      </c>
      <c r="B11" t="s">
        <v>21</v>
      </c>
      <c r="C11" s="4">
        <v>0.82399999999999995</v>
      </c>
      <c r="D11" s="4">
        <v>0.17599999999999999</v>
      </c>
      <c r="E11" s="4"/>
      <c r="G11" s="1" t="s">
        <v>36</v>
      </c>
      <c r="H11" s="1" t="s">
        <v>44</v>
      </c>
    </row>
    <row r="12" spans="1:8" x14ac:dyDescent="0.2">
      <c r="A12" t="s">
        <v>16</v>
      </c>
      <c r="B12" t="s">
        <v>21</v>
      </c>
      <c r="C12" s="4">
        <v>0.28299999999999997</v>
      </c>
      <c r="D12" s="4">
        <v>0.71699999999999997</v>
      </c>
      <c r="E12" s="4"/>
      <c r="F12" t="s">
        <v>28</v>
      </c>
      <c r="H12">
        <v>0.69169999999999998</v>
      </c>
    </row>
    <row r="13" spans="1:8" x14ac:dyDescent="0.2">
      <c r="A13" t="s">
        <v>17</v>
      </c>
      <c r="B13" t="s">
        <v>21</v>
      </c>
      <c r="C13" s="4">
        <v>0.58699999999999997</v>
      </c>
      <c r="D13" s="4">
        <v>0.41299999999999998</v>
      </c>
      <c r="E13" s="4"/>
      <c r="F13" t="s">
        <v>38</v>
      </c>
      <c r="H13">
        <v>0.53120000000000001</v>
      </c>
    </row>
    <row r="14" spans="1:8" x14ac:dyDescent="0.2">
      <c r="A14" t="s">
        <v>18</v>
      </c>
      <c r="B14" t="s">
        <v>21</v>
      </c>
      <c r="C14" s="4">
        <v>0.65200000000000002</v>
      </c>
      <c r="D14" s="4">
        <v>0.34799999999999998</v>
      </c>
      <c r="E14" s="4"/>
      <c r="F14" t="s">
        <v>37</v>
      </c>
      <c r="H14" s="3">
        <v>0.93459999999999999</v>
      </c>
    </row>
    <row r="15" spans="1:8" x14ac:dyDescent="0.2">
      <c r="A15" s="2" t="s">
        <v>13</v>
      </c>
      <c r="B15" t="s">
        <v>22</v>
      </c>
      <c r="C15" s="4">
        <v>0.92500000000000004</v>
      </c>
      <c r="D15" s="4">
        <v>7.4999999999999997E-2</v>
      </c>
      <c r="E15" s="4"/>
      <c r="F15" t="s">
        <v>39</v>
      </c>
      <c r="H15" s="3">
        <v>0.81979999999999997</v>
      </c>
    </row>
    <row r="16" spans="1:8" x14ac:dyDescent="0.2">
      <c r="A16" s="2" t="s">
        <v>14</v>
      </c>
      <c r="B16" t="s">
        <v>22</v>
      </c>
      <c r="C16" s="4">
        <v>0.71099999999999997</v>
      </c>
      <c r="D16" s="4">
        <v>0.28899999999999998</v>
      </c>
      <c r="E16" s="4"/>
      <c r="F16" t="s">
        <v>40</v>
      </c>
      <c r="H16">
        <v>0.67479999999999996</v>
      </c>
    </row>
    <row r="17" spans="1:8" x14ac:dyDescent="0.2">
      <c r="A17" s="2" t="s">
        <v>15</v>
      </c>
      <c r="B17" t="s">
        <v>22</v>
      </c>
      <c r="C17" s="4">
        <v>0.85</v>
      </c>
      <c r="D17" s="4">
        <v>0.15</v>
      </c>
      <c r="E17" s="4"/>
      <c r="F17" t="s">
        <v>41</v>
      </c>
      <c r="H17">
        <v>0.67479999999999996</v>
      </c>
    </row>
    <row r="18" spans="1:8" x14ac:dyDescent="0.2">
      <c r="A18" s="2" t="s">
        <v>16</v>
      </c>
      <c r="B18" t="s">
        <v>22</v>
      </c>
      <c r="C18" s="4">
        <v>0.441</v>
      </c>
      <c r="D18" s="4">
        <v>0.55900000000000005</v>
      </c>
      <c r="E18" s="4"/>
      <c r="F18" t="s">
        <v>42</v>
      </c>
      <c r="H18">
        <v>0.93459999999999999</v>
      </c>
    </row>
    <row r="19" spans="1:8" x14ac:dyDescent="0.2">
      <c r="A19" s="2" t="s">
        <v>17</v>
      </c>
      <c r="B19" t="s">
        <v>22</v>
      </c>
      <c r="C19" s="4">
        <v>0.73799999999999999</v>
      </c>
      <c r="D19" s="4">
        <v>0.26200000000000001</v>
      </c>
      <c r="E19" s="4"/>
      <c r="F19" t="s">
        <v>43</v>
      </c>
      <c r="H19">
        <v>0.53120000000000001</v>
      </c>
    </row>
    <row r="20" spans="1:8" x14ac:dyDescent="0.2">
      <c r="A20" s="2" t="s">
        <v>18</v>
      </c>
      <c r="B20" t="s">
        <v>22</v>
      </c>
      <c r="C20" s="4">
        <v>0.68799999999999994</v>
      </c>
      <c r="D20" s="4">
        <v>0.312</v>
      </c>
      <c r="E20" s="4"/>
    </row>
    <row r="21" spans="1:8" x14ac:dyDescent="0.2">
      <c r="A21" s="2" t="s">
        <v>13</v>
      </c>
      <c r="B21" t="s">
        <v>23</v>
      </c>
      <c r="C21" s="4">
        <v>0.88800000000000001</v>
      </c>
      <c r="D21" s="4">
        <v>0.112</v>
      </c>
      <c r="E21" s="4"/>
    </row>
    <row r="22" spans="1:8" x14ac:dyDescent="0.2">
      <c r="A22" s="2" t="s">
        <v>14</v>
      </c>
      <c r="B22" t="s">
        <v>23</v>
      </c>
      <c r="C22" s="4">
        <v>0.91300000000000003</v>
      </c>
      <c r="D22" s="4">
        <v>8.6999999999999994E-2</v>
      </c>
      <c r="E22" s="4"/>
    </row>
    <row r="23" spans="1:8" x14ac:dyDescent="0.2">
      <c r="A23" s="2" t="s">
        <v>15</v>
      </c>
      <c r="B23" t="s">
        <v>23</v>
      </c>
      <c r="C23" s="4">
        <v>0.98599999999999999</v>
      </c>
      <c r="D23" s="4">
        <v>1.4E-2</v>
      </c>
      <c r="E23" s="4"/>
    </row>
    <row r="24" spans="1:8" x14ac:dyDescent="0.2">
      <c r="A24" s="2" t="s">
        <v>16</v>
      </c>
      <c r="B24" t="s">
        <v>23</v>
      </c>
      <c r="C24" s="4">
        <v>0.85599999999999998</v>
      </c>
      <c r="D24" s="4">
        <v>0.14399999999999999</v>
      </c>
      <c r="E24" s="4"/>
    </row>
    <row r="25" spans="1:8" x14ac:dyDescent="0.2">
      <c r="A25" s="2" t="s">
        <v>17</v>
      </c>
      <c r="B25" t="s">
        <v>23</v>
      </c>
      <c r="C25" s="4">
        <v>0.94799999999999995</v>
      </c>
      <c r="D25" s="4">
        <v>5.1999999999999998E-2</v>
      </c>
      <c r="E25" s="4"/>
    </row>
    <row r="26" spans="1:8" x14ac:dyDescent="0.2">
      <c r="A26" s="2" t="s">
        <v>18</v>
      </c>
      <c r="B26" t="s">
        <v>23</v>
      </c>
      <c r="C26" s="4">
        <v>0.89800000000000002</v>
      </c>
      <c r="D26" s="4">
        <v>0.10199999999999999</v>
      </c>
      <c r="E26" s="4"/>
    </row>
    <row r="27" spans="1:8" x14ac:dyDescent="0.2">
      <c r="A27" s="2" t="s">
        <v>13</v>
      </c>
      <c r="B27" t="s">
        <v>24</v>
      </c>
      <c r="C27" s="4">
        <v>0.88200000000000001</v>
      </c>
      <c r="D27" s="4">
        <v>0.11799999999999999</v>
      </c>
      <c r="E27" s="4"/>
    </row>
    <row r="28" spans="1:8" x14ac:dyDescent="0.2">
      <c r="A28" s="2" t="s">
        <v>14</v>
      </c>
      <c r="B28" t="s">
        <v>24</v>
      </c>
      <c r="C28" s="4">
        <v>0.97</v>
      </c>
      <c r="D28" s="4">
        <v>0.03</v>
      </c>
      <c r="E28" s="4"/>
    </row>
    <row r="29" spans="1:8" x14ac:dyDescent="0.2">
      <c r="A29" s="2" t="s">
        <v>15</v>
      </c>
      <c r="B29" t="s">
        <v>24</v>
      </c>
      <c r="C29" s="4">
        <v>0.99</v>
      </c>
      <c r="D29" s="4">
        <v>0.01</v>
      </c>
      <c r="E29" s="4"/>
    </row>
    <row r="30" spans="1:8" x14ac:dyDescent="0.2">
      <c r="A30" s="2" t="s">
        <v>16</v>
      </c>
      <c r="B30" t="s">
        <v>24</v>
      </c>
      <c r="C30" s="4">
        <v>0.98199999999999998</v>
      </c>
      <c r="D30" s="4">
        <v>1.7999999999999999E-2</v>
      </c>
      <c r="E30" s="4"/>
    </row>
    <row r="31" spans="1:8" x14ac:dyDescent="0.2">
      <c r="A31" s="2" t="s">
        <v>17</v>
      </c>
      <c r="B31" t="s">
        <v>24</v>
      </c>
      <c r="C31" s="4">
        <v>0.97099999999999997</v>
      </c>
      <c r="D31" s="4">
        <v>2.9000000000000001E-2</v>
      </c>
      <c r="E31" s="4"/>
    </row>
    <row r="32" spans="1:8" x14ac:dyDescent="0.2">
      <c r="A32" s="2" t="s">
        <v>18</v>
      </c>
      <c r="B32" t="s">
        <v>24</v>
      </c>
      <c r="C32" s="4">
        <v>0.93799999999999994</v>
      </c>
      <c r="D32" s="4">
        <v>6.2E-2</v>
      </c>
      <c r="E32" s="4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Brock</dc:creator>
  <cp:lastModifiedBy>Gabriel Brock</cp:lastModifiedBy>
  <dcterms:created xsi:type="dcterms:W3CDTF">2025-12-13T04:18:53Z</dcterms:created>
  <dcterms:modified xsi:type="dcterms:W3CDTF">2025-12-17T05:45:15Z</dcterms:modified>
</cp:coreProperties>
</file>